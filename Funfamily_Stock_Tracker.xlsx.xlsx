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osit Sheet" sheetId="1" r:id="rId5"/>
    <sheet state="visible" name="Stock Sheet" sheetId="2" r:id="rId6"/>
  </sheets>
  <definedNames/>
  <calcPr/>
</workbook>
</file>

<file path=xl/sharedStrings.xml><?xml version="1.0" encoding="utf-8"?>
<sst xmlns="http://schemas.openxmlformats.org/spreadsheetml/2006/main" count="62" uniqueCount="35">
  <si>
    <t>Holdings</t>
  </si>
  <si>
    <t>Total Deposit</t>
  </si>
  <si>
    <t>Total Invested</t>
  </si>
  <si>
    <t>Remaining Cash</t>
  </si>
  <si>
    <t>Jasmine</t>
  </si>
  <si>
    <t>Shawn Mun</t>
  </si>
  <si>
    <t>Depositor</t>
  </si>
  <si>
    <t>Deposit Date</t>
  </si>
  <si>
    <t>Withdrawal Date</t>
  </si>
  <si>
    <t>Current Date</t>
  </si>
  <si>
    <t>Purchaser</t>
  </si>
  <si>
    <t>Date of Purchase</t>
  </si>
  <si>
    <t>Original Purchase Quantum(Any $)</t>
  </si>
  <si>
    <t>Currency</t>
  </si>
  <si>
    <t>Original Purchase Quantum(S$)</t>
  </si>
  <si>
    <t>Platform</t>
  </si>
  <si>
    <t>Product</t>
  </si>
  <si>
    <t>Ticker</t>
  </si>
  <si>
    <t>Reference</t>
  </si>
  <si>
    <t>Original Purchase Price (Any $)</t>
  </si>
  <si>
    <t>Holding Price (Any $)</t>
  </si>
  <si>
    <t>Gross Holding Value (S$)</t>
  </si>
  <si>
    <t>Net Earning/Loss (S$)</t>
  </si>
  <si>
    <t>18/11/2024</t>
  </si>
  <si>
    <t>SGD</t>
  </si>
  <si>
    <t>Endowus</t>
  </si>
  <si>
    <t>iShares U.S. Index Fund (IE) S&amp;P 500</t>
  </si>
  <si>
    <t>0P0001Q0TW.SI</t>
  </si>
  <si>
    <t>Yahoo Finance</t>
  </si>
  <si>
    <t>29/12/2025</t>
  </si>
  <si>
    <t>21/1/2026</t>
  </si>
  <si>
    <t>USD</t>
  </si>
  <si>
    <t>IBKR</t>
  </si>
  <si>
    <t>TSMC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</si>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</sst>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M/d/yyyy"/>
    <numFmt numFmtId="166" formatCode="&quot;$&quot;#,##0.00"/>
    <numFmt numFmtId="167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6" xfId="0" applyFont="1" applyNumberFormat="1"/>
    <xf borderId="0" fillId="0" fontId="2" numFmtId="167" xfId="0" applyAlignment="1" applyFont="1" applyNumberFormat="1">
      <alignment horizontal="right"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0p0001q0tw.si/" TargetMode="External"/><Relationship Id="rId2" Type="http://schemas.openxmlformats.org/officeDocument/2006/relationships/hyperlink" Target="http://0p0001q0tw.si/" TargetMode="External"/><Relationship Id="rId3" Type="http://schemas.openxmlformats.org/officeDocument/2006/relationships/hyperlink" Target="http://0p0001q0tw.si/" TargetMode="External"/><Relationship Id="rId4" Type="http://schemas.openxmlformats.org/officeDocument/2006/relationships/hyperlink" Target="http://0p0001q0tw.si/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10000.0</v>
      </c>
      <c r="C2" s="3">
        <v>9600.0</v>
      </c>
      <c r="D2" s="3">
        <f t="shared" ref="D2:D3" si="1">B2-C2</f>
        <v>400</v>
      </c>
    </row>
    <row r="3">
      <c r="A3" s="2" t="s">
        <v>5</v>
      </c>
      <c r="B3" s="3">
        <v>20000.0</v>
      </c>
      <c r="C3" s="3">
        <v>20000.0</v>
      </c>
      <c r="D3" s="3">
        <f t="shared" si="1"/>
        <v>0</v>
      </c>
    </row>
    <row r="5">
      <c r="A5" s="1" t="s">
        <v>6</v>
      </c>
      <c r="B5" s="1" t="s">
        <v>7</v>
      </c>
      <c r="C5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5.88"/>
    <col customWidth="1" min="4" max="4" width="14.0"/>
    <col customWidth="1" min="5" max="5" width="26.13"/>
    <col customWidth="1" min="6" max="6" width="7.88"/>
    <col customWidth="1" min="7" max="7" width="29.38"/>
    <col customWidth="1" min="8" max="8" width="16.25"/>
    <col customWidth="1" min="11" max="11" width="17.88"/>
    <col customWidth="1" min="12" max="12" width="20.88"/>
    <col customWidth="1" min="13" max="13" width="18.38"/>
  </cols>
  <sheetData>
    <row r="1">
      <c r="A1" s="1" t="s">
        <v>9</v>
      </c>
      <c r="B1" s="4">
        <f>TODAY()</f>
        <v>46095</v>
      </c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>
      <c r="A4" s="5" t="s">
        <v>5</v>
      </c>
      <c r="B4" s="6" t="s">
        <v>23</v>
      </c>
      <c r="C4" s="3">
        <v>5000.0</v>
      </c>
      <c r="D4" s="5" t="s">
        <v>24</v>
      </c>
      <c r="E4" s="7">
        <f t="shared" ref="E4:E7" si="1">C4</f>
        <v>5000</v>
      </c>
      <c r="F4" s="5" t="s">
        <v>25</v>
      </c>
      <c r="G4" s="5" t="s">
        <v>26</v>
      </c>
      <c r="H4" s="8" t="s">
        <v>27</v>
      </c>
      <c r="I4" s="5" t="s">
        <v>28</v>
      </c>
      <c r="J4" s="7">
        <v>15.7252</v>
      </c>
      <c r="K4" s="7">
        <v>17.38</v>
      </c>
      <c r="L4" s="9">
        <f t="shared" ref="L4:L9" si="2">(K4/J4)*E4</f>
        <v>5526.161829</v>
      </c>
      <c r="M4" s="9">
        <f t="shared" ref="M4:M9" si="3">L4-E4</f>
        <v>526.1618294</v>
      </c>
    </row>
    <row r="5">
      <c r="A5" s="5" t="s">
        <v>5</v>
      </c>
      <c r="B5" s="6" t="s">
        <v>29</v>
      </c>
      <c r="C5" s="3">
        <v>10000.0</v>
      </c>
      <c r="D5" s="5" t="s">
        <v>24</v>
      </c>
      <c r="E5" s="7">
        <f t="shared" si="1"/>
        <v>10000</v>
      </c>
      <c r="F5" s="5" t="s">
        <v>25</v>
      </c>
      <c r="G5" s="5" t="s">
        <v>26</v>
      </c>
      <c r="H5" s="8" t="s">
        <v>27</v>
      </c>
      <c r="I5" s="5" t="s">
        <v>28</v>
      </c>
      <c r="J5" s="7">
        <v>17.7045</v>
      </c>
      <c r="K5" s="7">
        <v>17.38</v>
      </c>
      <c r="L5" s="9">
        <f t="shared" si="2"/>
        <v>9816.713265</v>
      </c>
      <c r="M5" s="9">
        <f t="shared" si="3"/>
        <v>-183.286735</v>
      </c>
    </row>
    <row r="6">
      <c r="A6" s="5" t="s">
        <v>5</v>
      </c>
      <c r="B6" s="6" t="s">
        <v>30</v>
      </c>
      <c r="C6" s="3">
        <v>5000.0</v>
      </c>
      <c r="D6" s="5" t="s">
        <v>24</v>
      </c>
      <c r="E6" s="7">
        <f t="shared" si="1"/>
        <v>5000</v>
      </c>
      <c r="F6" s="5" t="s">
        <v>25</v>
      </c>
      <c r="G6" s="5" t="s">
        <v>26</v>
      </c>
      <c r="H6" s="8" t="s">
        <v>27</v>
      </c>
      <c r="I6" s="5" t="s">
        <v>28</v>
      </c>
      <c r="J6" s="7">
        <v>17.5844</v>
      </c>
      <c r="K6" s="7">
        <v>17.38</v>
      </c>
      <c r="L6" s="9">
        <f t="shared" si="2"/>
        <v>4941.880303</v>
      </c>
      <c r="M6" s="9">
        <f t="shared" si="3"/>
        <v>-58.119697</v>
      </c>
    </row>
    <row r="7">
      <c r="A7" s="5" t="s">
        <v>4</v>
      </c>
      <c r="B7" s="6">
        <v>45912.0</v>
      </c>
      <c r="C7" s="3">
        <v>4600.0</v>
      </c>
      <c r="D7" s="5" t="s">
        <v>24</v>
      </c>
      <c r="E7" s="7">
        <f t="shared" si="1"/>
        <v>4600</v>
      </c>
      <c r="F7" s="5" t="s">
        <v>25</v>
      </c>
      <c r="G7" s="5" t="s">
        <v>26</v>
      </c>
      <c r="H7" s="8" t="s">
        <v>27</v>
      </c>
      <c r="I7" s="5" t="s">
        <v>28</v>
      </c>
      <c r="J7" s="7">
        <v>17.7186</v>
      </c>
      <c r="K7" s="7">
        <v>17.38</v>
      </c>
      <c r="L7" s="9">
        <f t="shared" si="2"/>
        <v>4512.094635</v>
      </c>
      <c r="M7" s="9">
        <f t="shared" si="3"/>
        <v>-87.90536498</v>
      </c>
    </row>
    <row r="8">
      <c r="A8" s="5" t="s">
        <v>4</v>
      </c>
      <c r="B8" s="10">
        <v>46058.0</v>
      </c>
      <c r="C8" s="3">
        <v>4000.0</v>
      </c>
      <c r="D8" s="5" t="s">
        <v>31</v>
      </c>
      <c r="E8" s="7">
        <v>5095.88</v>
      </c>
      <c r="F8" s="5" t="s">
        <v>32</v>
      </c>
      <c r="G8" s="7" t="s">
        <v>33</v>
      </c>
      <c r="H8" s="7" t="s">
        <v>33</v>
      </c>
      <c r="I8" s="7" t="s">
        <v>32</v>
      </c>
      <c r="J8" s="7">
        <v>322.79</v>
      </c>
      <c r="K8" s="7">
        <v>370.6</v>
      </c>
      <c r="L8" s="9">
        <f t="shared" si="2"/>
        <v>5850.655621</v>
      </c>
      <c r="M8" s="9">
        <f t="shared" si="3"/>
        <v>754.7756213</v>
      </c>
    </row>
    <row r="9">
      <c r="A9" s="5" t="s">
        <v>4</v>
      </c>
      <c r="B9" s="11">
        <v>46076.0</v>
      </c>
      <c r="C9" s="3">
        <v>7142.85</v>
      </c>
      <c r="D9" s="5" t="s">
        <v>31</v>
      </c>
      <c r="E9" s="7">
        <v>10000.0</v>
      </c>
      <c r="F9" s="5" t="s">
        <v>32</v>
      </c>
      <c r="G9" s="5" t="s">
        <v>34</v>
      </c>
      <c r="H9" s="5" t="s">
        <v>34</v>
      </c>
      <c r="I9" s="5" t="s">
        <v>32</v>
      </c>
      <c r="J9" s="7">
        <v>393.48</v>
      </c>
      <c r="K9" s="7">
        <v>394.16</v>
      </c>
      <c r="L9" s="9">
        <f t="shared" si="2"/>
        <v>10017.28169</v>
      </c>
      <c r="M9" s="9">
        <f t="shared" si="3"/>
        <v>17.28169157</v>
      </c>
    </row>
  </sheetData>
  <hyperlinks>
    <hyperlink r:id="rId1" ref="H4"/>
    <hyperlink r:id="rId2" ref="H5"/>
    <hyperlink r:id="rId3" ref="H6"/>
    <hyperlink r:id="rId4" ref="H7"/>
  </hyperlinks>
  <drawing r:id="rId5"/>
</worksheet>
</file>